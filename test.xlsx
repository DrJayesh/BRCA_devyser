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MEGA\JML\work and QC\Devyser\script\"/>
    </mc:Choice>
  </mc:AlternateContent>
  <xr:revisionPtr revIDLastSave="0" documentId="13_ncr:1_{5D2BB2C8-FF2B-425C-A0D8-72F12404B7A7}" xr6:coauthVersionLast="47" xr6:coauthVersionMax="47" xr10:uidLastSave="{00000000-0000-0000-0000-000000000000}"/>
  <bookViews>
    <workbookView xWindow="6105" yWindow="190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<sst xmlns="http://schemas.openxmlformats.org/spreadsheetml/2006/main" count="20" uniqueCount="20">
  <si>
    <t>BRCA2</t>
  </si>
  <si>
    <t>Pathogenic</t>
  </si>
  <si>
    <t>Gene</t>
  </si>
  <si>
    <t>Classification</t>
  </si>
  <si>
    <t>Transcript</t>
  </si>
  <si>
    <t>Variant</t>
  </si>
  <si>
    <t>zygosity</t>
  </si>
  <si>
    <t>11504-24</t>
  </si>
  <si>
    <t>NM_000059.3</t>
  </si>
  <si>
    <t>AF=0.9629;GENEINFO=BRCA2:675;VCC=H;HGVSC=c.4370T&gt;A;HGVSP=p.Leu1457Ter;HGVSG=chr13:g.32912862T&gt;A;RNA_ACC=NM_000059.3;PROT_ACC=NP_000050.2;CONSEQUENCES=s_SPG</t>
  </si>
  <si>
    <t>INFO</t>
  </si>
  <si>
    <t>HGVSC</t>
  </si>
  <si>
    <t>HGVSP</t>
  </si>
  <si>
    <t>Sample_ID</t>
  </si>
  <si>
    <t>Homozygous</t>
  </si>
  <si>
    <t>Summary</t>
  </si>
  <si>
    <t>HGVSG</t>
  </si>
  <si>
    <t>chr13-32912862-T-A</t>
  </si>
  <si>
    <t>Disease</t>
  </si>
  <si>
    <t>Breast-ovarian cancer, familial, susceptibility to,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</si>
</sst>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4" borderId="3" applyNumberFormat="0" applyAlignment="0" applyProtection="0"/>
  </cellStyleXfs>
  <cellXfs count="7">
    <xf numFmtId="0" fontId="0" fillId="0" borderId="0" xfId="0"/>
    <xf numFmtId="0" fontId="1" fillId="2" borderId="0" xfId="1"/>
    <xf numFmtId="0" fontId="2" fillId="3" borderId="1" xfId="0" applyFont="1" applyFill="1" applyBorder="1" applyAlignment="1">
      <alignment horizontal="center" vertical="top"/>
    </xf>
    <xf numFmtId="0" fontId="1" fillId="2" borderId="2" xfId="1" applyBorder="1"/>
    <xf numFmtId="0" fontId="3" fillId="4" borderId="3" xfId="2"/>
    <xf numFmtId="0" fontId="4" fillId="4" borderId="3" xfId="2" applyFont="1"/>
    <xf numFmtId="0" fontId="3" fillId="4" borderId="4" xfId="2" applyBorder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N9" sqref="N9"/>
    </sheetView>
  </sheetViews>
  <sheetFormatPr defaultRowHeight="15" x14ac:dyDescent="0.25"/>
  <cols>
    <col min="1" max="1" width="11.7109375" customWidth="1"/>
    <col min="2" max="2" width="15" customWidth="1"/>
    <col min="3" max="3" width="20.140625" customWidth="1"/>
    <col min="8" max="8" width="9.140625" customWidth="1"/>
    <col min="9" max="9" width="16.140625" bestFit="1" customWidth="1"/>
    <col min="10" max="10" width="19.7109375" bestFit="1" customWidth="1"/>
  </cols>
  <sheetData>
    <row r="1" spans="1:12" x14ac:dyDescent="0.25">
      <c r="A1" t="s">
        <v>13</v>
      </c>
      <c r="B1" s="2" t="s">
        <v>2</v>
      </c>
      <c r="C1" s="2" t="s">
        <v>3</v>
      </c>
      <c r="D1" t="s">
        <v>4</v>
      </c>
      <c r="E1" t="s">
        <v>10</v>
      </c>
      <c r="F1" t="s">
        <v>5</v>
      </c>
      <c r="G1" t="s">
        <v>6</v>
      </c>
      <c r="H1" t="s">
        <v>11</v>
      </c>
      <c r="I1" t="s">
        <v>12</v>
      </c>
      <c r="J1" t="s">
        <v>16</v>
      </c>
      <c r="K1" t="s">
        <v>15</v>
      </c>
      <c r="L1" t="s">
        <v>18</v>
      </c>
    </row>
    <row r="2" spans="1:12" x14ac:dyDescent="0.25">
      <c r="A2" s="1" t="s">
        <v>7</v>
      </c>
      <c r="B2" s="5" t="s">
        <v>0</v>
      </c>
      <c r="C2" s="4" t="s">
        <v>1</v>
      </c>
      <c r="D2" s="4" t="s">
        <v>8</v>
      </c>
      <c r="E2" s="4" t="s">
        <v>9</v>
      </c>
      <c r="G2" s="6" t="s">
        <v>14</v>
      </c>
      <c r="H2" t="str">
        <f>MID(
  E2,
  SEARCH("HGVSC=",E2) + LEN("HGVSC="),
  SEARCH(";", E2, SEARCH("HGVSC=",E2))
    - (SEARCH("HGVSC=",E2) + LEN("HGVSC="))
)</f>
        <v>c.4370T&gt;A</v>
      </c>
      <c r="I2" t="str">
        <f>MID(
E2,
SEARCH("HGVSP=",E2)+LEN("HGVSP="),
SEARCH(";",E2,SEARCH("HGVSP=",E2))
-(SEARCH("HGVSP=",E2)+LEN("HGVSP="))
)</f>
        <v>p.Leu1457Ter</v>
      </c>
      <c r="J2" s="4" t="s">
        <v>17</v>
      </c>
      <c r="L2" t="s">
        <v>19</v>
      </c>
    </row>
    <row r="3" spans="1:12" x14ac:dyDescent="0.25">
      <c r="A3" s="1"/>
      <c r="B3" s="1"/>
      <c r="C3" s="1"/>
    </row>
    <row r="4" spans="1:12" x14ac:dyDescent="0.25">
      <c r="A4" s="1"/>
      <c r="B4" s="1"/>
      <c r="C4" s="1"/>
    </row>
    <row r="5" spans="1:12" x14ac:dyDescent="0.25">
      <c r="A5" s="1"/>
      <c r="B5" s="1"/>
      <c r="C5" s="1"/>
    </row>
    <row r="6" spans="1:12" x14ac:dyDescent="0.25">
      <c r="A6" s="1"/>
      <c r="B6" s="1"/>
      <c r="C6" s="1"/>
    </row>
    <row r="7" spans="1:12" x14ac:dyDescent="0.25">
      <c r="A7" s="1"/>
      <c r="B7" s="1"/>
      <c r="C7" s="1"/>
    </row>
    <row r="8" spans="1:12" x14ac:dyDescent="0.25">
      <c r="A8" s="1"/>
      <c r="B8" s="1"/>
      <c r="C8" s="1"/>
    </row>
    <row r="9" spans="1:12" x14ac:dyDescent="0.25">
      <c r="A9" s="1"/>
      <c r="B9" s="1"/>
      <c r="C9" s="1"/>
    </row>
    <row r="10" spans="1:12" x14ac:dyDescent="0.25">
      <c r="A10" s="1"/>
      <c r="B10" s="3"/>
      <c r="C10" s="3"/>
    </row>
    <row r="11" spans="1:12" x14ac:dyDescent="0.25">
      <c r="A11" s="1"/>
      <c r="B11" s="1"/>
      <c r="C11" s="1"/>
    </row>
    <row r="12" spans="1:12" x14ac:dyDescent="0.25">
      <c r="A12" s="1"/>
      <c r="B12" s="1"/>
      <c r="C12" s="1"/>
    </row>
    <row r="13" spans="1:12" x14ac:dyDescent="0.25">
      <c r="A13" s="1"/>
      <c r="B13" s="1"/>
      <c r="C13" s="1"/>
    </row>
    <row r="14" spans="1:12" x14ac:dyDescent="0.25">
      <c r="A14" s="1"/>
      <c r="B14" s="1"/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Saha</dc:creator>
  <cp:lastModifiedBy>Jayesh Saha</cp:lastModifiedBy>
  <dcterms:created xsi:type="dcterms:W3CDTF">2015-06-05T18:17:20Z</dcterms:created>
  <dcterms:modified xsi:type="dcterms:W3CDTF">2025-07-12T11:43:17Z</dcterms:modified>
</cp:coreProperties>
</file>