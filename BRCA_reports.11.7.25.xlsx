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MEGA\JML\work and QC\Devyser\script\"/>
    </mc:Choice>
  </mc:AlternateContent>
  <xr:revisionPtr revIDLastSave="0" documentId="13_ncr:1_{C1D2A1B7-90E1-4CEA-879E-6B785A2A63B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9" i="1" l="1"/>
  <c r="J20" i="1"/>
  <c r="J21" i="1"/>
  <c r="J22" i="1"/>
  <c r="J23" i="1"/>
  <c r="J24" i="1"/>
  <c r="J25" i="1"/>
  <c r="J26" i="1"/>
  <c r="J27" i="1"/>
  <c r="J18" i="1"/>
  <c r="E19" i="1"/>
  <c r="E20" i="1"/>
  <c r="E21" i="1"/>
  <c r="E22" i="1"/>
  <c r="E23" i="1"/>
  <c r="E24" i="1"/>
  <c r="H24" i="1" s="1"/>
  <c r="E25" i="1"/>
  <c r="H25" i="1" s="1"/>
  <c r="E26" i="1"/>
  <c r="E27" i="1"/>
  <c r="E18" i="1"/>
  <c r="H18" i="1" s="1"/>
  <c r="D19" i="1"/>
  <c r="D20" i="1"/>
  <c r="D21" i="1"/>
  <c r="D22" i="1"/>
  <c r="D23" i="1"/>
  <c r="D24" i="1"/>
  <c r="D25" i="1"/>
  <c r="D26" i="1"/>
  <c r="D27" i="1"/>
  <c r="D18" i="1"/>
  <c r="C19" i="1"/>
  <c r="C20" i="1"/>
  <c r="C21" i="1"/>
  <c r="C22" i="1"/>
  <c r="C23" i="1"/>
  <c r="C24" i="1"/>
  <c r="C25" i="1"/>
  <c r="C26" i="1"/>
  <c r="C27" i="1"/>
  <c r="C18" i="1"/>
  <c r="B19" i="1"/>
  <c r="B20" i="1"/>
  <c r="B21" i="1"/>
  <c r="B22" i="1"/>
  <c r="B23" i="1"/>
  <c r="B24" i="1"/>
  <c r="L24" i="1" s="1" a="1"/>
  <c r="L24" i="1" s="1"/>
  <c r="B25" i="1"/>
  <c r="L25" i="1" s="1" a="1"/>
  <c r="L25" i="1" s="1"/>
  <c r="B26" i="1"/>
  <c r="B27" i="1"/>
  <c r="B18" i="1"/>
  <c r="L18" i="1" s="1" a="1"/>
  <c r="L18" i="1" s="1"/>
  <c r="L19" i="1" a="1"/>
  <c r="L19" i="1" s="1"/>
  <c r="L20" i="1" a="1"/>
  <c r="L20" i="1" s="1"/>
  <c r="L21" i="1" a="1"/>
  <c r="L21" i="1" s="1"/>
  <c r="L22" i="1" a="1"/>
  <c r="L22" i="1" s="1"/>
  <c r="L23" i="1" a="1"/>
  <c r="L23" i="1" s="1"/>
  <c r="L26" i="1" a="1"/>
  <c r="L26" i="1" s="1"/>
  <c r="L27" i="1" a="1"/>
  <c r="L27" i="1" s="1"/>
  <c r="L6" i="1" a="1"/>
  <c r="L6" i="1" s="1"/>
  <c r="L7" i="1" a="1"/>
  <c r="L7" i="1" s="1"/>
  <c r="L8" i="1" a="1"/>
  <c r="L8" i="1" s="1"/>
  <c r="L9" i="1" a="1"/>
  <c r="L9" i="1" s="1"/>
  <c r="L10" i="1" a="1"/>
  <c r="L10" i="1" s="1"/>
  <c r="L11" i="1" a="1"/>
  <c r="L11" i="1" s="1"/>
  <c r="L12" i="1" a="1"/>
  <c r="L12" i="1" s="1"/>
  <c r="L13" i="1" a="1"/>
  <c r="L13" i="1" s="1"/>
  <c r="L14" i="1" a="1"/>
  <c r="L14" i="1" s="1"/>
  <c r="L15" i="1" a="1"/>
  <c r="L15" i="1" s="1"/>
  <c r="L16" i="1" a="1"/>
  <c r="L16" i="1" s="1"/>
  <c r="L17" i="1" a="1"/>
  <c r="L17" i="1" s="1"/>
  <c r="J7" i="1"/>
  <c r="J8" i="1"/>
  <c r="J9" i="1"/>
  <c r="J10" i="1"/>
  <c r="J11" i="1"/>
  <c r="J12" i="1"/>
  <c r="J13" i="1"/>
  <c r="J14" i="1"/>
  <c r="J15" i="1"/>
  <c r="J16" i="1"/>
  <c r="J17" i="1"/>
  <c r="J6" i="1"/>
  <c r="E7" i="1"/>
  <c r="E8" i="1"/>
  <c r="E9" i="1"/>
  <c r="E10" i="1"/>
  <c r="E11" i="1"/>
  <c r="E12" i="1"/>
  <c r="E13" i="1"/>
  <c r="H13" i="1" s="1"/>
  <c r="E14" i="1"/>
  <c r="E15" i="1"/>
  <c r="E16" i="1"/>
  <c r="E17" i="1"/>
  <c r="H21" i="1"/>
  <c r="E6" i="1"/>
  <c r="H6" i="1" s="1"/>
  <c r="B7" i="1"/>
  <c r="C7" i="1"/>
  <c r="D7" i="1"/>
  <c r="B8" i="1"/>
  <c r="C8" i="1"/>
  <c r="D8" i="1"/>
  <c r="H8" i="1"/>
  <c r="B9" i="1"/>
  <c r="C9" i="1"/>
  <c r="D9" i="1"/>
  <c r="B10" i="1"/>
  <c r="C10" i="1"/>
  <c r="D10" i="1"/>
  <c r="H10" i="1"/>
  <c r="B11" i="1"/>
  <c r="C11" i="1"/>
  <c r="D11" i="1"/>
  <c r="B12" i="1"/>
  <c r="C12" i="1"/>
  <c r="D12" i="1"/>
  <c r="H12" i="1"/>
  <c r="B13" i="1"/>
  <c r="C13" i="1"/>
  <c r="D13" i="1"/>
  <c r="B14" i="1"/>
  <c r="C14" i="1"/>
  <c r="D14" i="1"/>
  <c r="H14" i="1"/>
  <c r="B15" i="1"/>
  <c r="C15" i="1"/>
  <c r="D15" i="1"/>
  <c r="B16" i="1"/>
  <c r="C16" i="1"/>
  <c r="D16" i="1"/>
  <c r="H16" i="1"/>
  <c r="B17" i="1"/>
  <c r="C17" i="1"/>
  <c r="D17" i="1"/>
  <c r="H19" i="1"/>
  <c r="H20" i="1"/>
  <c r="H23" i="1"/>
  <c r="H26" i="1"/>
  <c r="H27" i="1"/>
  <c r="H7" i="1"/>
  <c r="I7" i="1"/>
  <c r="H9" i="1"/>
  <c r="I9" i="1"/>
  <c r="H11" i="1"/>
  <c r="I11" i="1"/>
  <c r="H15" i="1"/>
  <c r="I15" i="1"/>
  <c r="H17" i="1"/>
  <c r="I17" i="1"/>
  <c r="H22" i="1"/>
  <c r="I22" i="1"/>
  <c r="D6" i="1"/>
  <c r="C6" i="1"/>
  <c r="B6" i="1"/>
  <c r="L5" i="2" a="1"/>
  <c r="L5" i="2" s="1"/>
  <c r="I5" i="2"/>
  <c r="H5" i="2"/>
  <c r="L4" i="2" a="1"/>
  <c r="L4" i="2" s="1"/>
  <c r="I4" i="2"/>
  <c r="H4" i="2"/>
  <c r="L3" i="2" a="1"/>
  <c r="L3" i="2" s="1"/>
  <c r="I3" i="2"/>
  <c r="H3" i="2"/>
  <c r="L2" i="2" a="1"/>
  <c r="L2" i="2" s="1"/>
  <c r="I2" i="2"/>
  <c r="H2" i="2"/>
  <c r="L3" i="1" a="1"/>
  <c r="L3" i="1" s="1"/>
  <c r="L4" i="1" a="1"/>
  <c r="L4" i="1" s="1"/>
  <c r="L5" i="1" a="1"/>
  <c r="L5" i="1" s="1"/>
  <c r="L2" i="1" a="1"/>
  <c r="L2" i="1" s="1"/>
  <c r="I3" i="1"/>
  <c r="I4" i="1"/>
  <c r="I5" i="1"/>
  <c r="I2" i="1"/>
  <c r="H3" i="1"/>
  <c r="H4" i="1"/>
  <c r="H5" i="1"/>
  <c r="H2" i="1"/>
  <c r="I13" i="1" l="1"/>
  <c r="I20" i="1"/>
  <c r="I6" i="1"/>
  <c r="I26" i="1"/>
  <c r="I18" i="1"/>
  <c r="I24" i="1"/>
  <c r="I27" i="1"/>
  <c r="I23" i="1"/>
  <c r="I19" i="1"/>
  <c r="I16" i="1"/>
  <c r="I12" i="1"/>
  <c r="I8" i="1"/>
  <c r="I25" i="1"/>
  <c r="I21" i="1"/>
  <c r="I14" i="1"/>
  <c r="I1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<sst xmlns="http://schemas.openxmlformats.org/spreadsheetml/2006/main" count="121" uniqueCount="63">
  <si>
    <t>BRCA2</t>
  </si>
  <si>
    <t>BRCA1</t>
  </si>
  <si>
    <t>Likely_pathogenic</t>
  </si>
  <si>
    <t>Pathogenic</t>
  </si>
  <si>
    <t>Gene</t>
  </si>
  <si>
    <t>Classification</t>
  </si>
  <si>
    <t>Transcript</t>
  </si>
  <si>
    <t>Variant</t>
  </si>
  <si>
    <t>zygosity</t>
  </si>
  <si>
    <t>11504-24</t>
  </si>
  <si>
    <t>3114-25</t>
  </si>
  <si>
    <t>11-25</t>
  </si>
  <si>
    <t>8534-22</t>
  </si>
  <si>
    <t>4226-24</t>
  </si>
  <si>
    <t>938-25</t>
  </si>
  <si>
    <t>6986-24</t>
  </si>
  <si>
    <t>6839-24</t>
  </si>
  <si>
    <t>NM_000059.3</t>
  </si>
  <si>
    <t>NM_007294.4</t>
  </si>
  <si>
    <t>AF=0.9629;GENEINFO=BRCA2:675;VCC=H;HGVSC=c.4370T&gt;A;HGVSP=p.Leu1457Ter;HGVSG=chr13:g.32912862T&gt;A;RNA_ACC=NM_000059.3;PROT_ACC=NP_000050.2;CONSEQUENCES=s_SPG</t>
  </si>
  <si>
    <t>AF=0.5522;RS=rs886040353;CLINVARPAT=Pathogenic;GENEINFO=BRCA2:675;VCC=H;HGVSC=c.126T&gt;A;HGVSP=p.Tyr42Ter;HGVSG=chr13:g.32893272T&gt;A;RNA_ACC=NM_000059.3;PROT_ACC=NP_000050.2;CONSEQUENCES=s_SPG</t>
  </si>
  <si>
    <t>AF=0.3789;RS=rs886040309;CLINVARPAT=Pathogenic;GENEINFO=BRCA1:672;VCC=H;HGVSC=c.68del;HGVSP=p.Glu23GlyfsTer8;HGVSG=chr17:g.41276046del;RNA_ACC=NM_007294.4;PROT_ACC=NP_009225.1;CONSEQUENCES=d_CDS_FS</t>
  </si>
  <si>
    <t>AF=0.2427;RS=rs80358063;CLINVARPAT=Pathogenic,not_provided;GENEINFO=BRCA1:672;VCC=H;HGVSC=c.4484+1G&gt;A;HGVSP=-;HGVSG=chr17:g.41228504C&gt;T;RNA_ACC=NM_007294.4;PROT_ACC=-;CONSEQUENCES=s_SDV</t>
  </si>
  <si>
    <t>AF=0.2176;RS=rs397507997;CLINVARPAT=not_provided,other,Likely_pathogenic;GENEINFO=BRCA2:675;VCC=H;HGVSC=c.8632+1G&gt;A;HGVSP=-;HGVSG=chr13:g.32945238G&gt;A;RNA_ACC=NM_000059.3;PROT_ACC=-;CONSEQUENCES=s_SDV</t>
  </si>
  <si>
    <t>AF=0.1193;GENEINFO=BRCA1:672;VCC=H;HGVSC=c.5476C&gt;T;HGVSP=p.Gln1826Ter;HGVSG=chr17:g.41197811G&gt;A;RNA_ACC=NM_007294.4;PROT_ACC=NP_009225.1;CONSEQUENCES=s_SPG</t>
  </si>
  <si>
    <t>AF=0.1085;GENEINFO=BRCA2:675;VCC=H;HGVSC=c.8267C&gt;T;HGVSP=p.Ala2756Val;HGVSG=chr13:g.32937606C&gt;T;RNA_ACC=NM_000059.3;PROT_ACC=NP_000050.2;CONSEQUENCES=s_MV</t>
  </si>
  <si>
    <t>AF=0.1045;RS=rs80356864;CLINVARPAT=not_provided,Pathogenic,Uncertain_significance;GENEINFO=BRCA1:672;VCC=H;HGVSC=c.160C&gt;T;HGVSP=p.Gln54Ter;HGVSG=chr17:g.41258525G&gt;A;RNA_ACC=NM_007294.4;PROT_ACC=NP_009225.1;CONSEQUENCES=s_SPG</t>
  </si>
  <si>
    <t>INFO</t>
  </si>
  <si>
    <t>HGVSC</t>
  </si>
  <si>
    <t>HGVSP</t>
  </si>
  <si>
    <t>Sample_ID</t>
  </si>
  <si>
    <t>Heterozygous</t>
  </si>
  <si>
    <t>Homozygous</t>
  </si>
  <si>
    <t>Summary</t>
  </si>
  <si>
    <t>HGVSG</t>
  </si>
  <si>
    <t>chr13-32912862-T-A</t>
  </si>
  <si>
    <t>chr13-32893272-T-A</t>
  </si>
  <si>
    <t>chr17-41276045-CT-C</t>
  </si>
  <si>
    <t>chr17-41228504-C-T</t>
  </si>
  <si>
    <t>chr13-32945238-G-A</t>
  </si>
  <si>
    <t>chr17-41197811-G-A</t>
  </si>
  <si>
    <t>chr13-32937606-C-T</t>
  </si>
  <si>
    <t>chr17-41258525-G-A</t>
  </si>
  <si>
    <t>Disease</t>
  </si>
  <si>
    <t>4266-23</t>
  </si>
  <si>
    <t>3233-24</t>
  </si>
  <si>
    <t>4101-24</t>
  </si>
  <si>
    <t>1884-20</t>
  </si>
  <si>
    <t>8193-22</t>
  </si>
  <si>
    <t>3156-24</t>
  </si>
  <si>
    <t>6547-23</t>
  </si>
  <si>
    <t>7716-24</t>
  </si>
  <si>
    <t>4360-22</t>
  </si>
  <si>
    <t>5585-24</t>
  </si>
  <si>
    <t>1999-23</t>
  </si>
  <si>
    <t>9293-24</t>
  </si>
  <si>
    <t>891-23</t>
  </si>
  <si>
    <t>11799-24</t>
  </si>
  <si>
    <t>229-24</t>
  </si>
  <si>
    <t>1259-22</t>
  </si>
  <si>
    <t>4602-23</t>
  </si>
  <si>
    <t>152-25</t>
  </si>
  <si>
    <t>5203-23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</si>
</sst>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name val="Calibri"/>
      <family val="2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/>
        <bgColor theme="4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3" fillId="4" borderId="2" applyNumberFormat="0" applyAlignment="0" applyProtection="0"/>
  </cellStyleXfs>
  <cellXfs count="6">
    <xf numFmtId="0" fontId="0" fillId="0" borderId="0" xfId="0"/>
    <xf numFmtId="0" fontId="1" fillId="2" borderId="0" xfId="1"/>
    <xf numFmtId="0" fontId="2" fillId="3" borderId="1" xfId="0" applyFont="1" applyFill="1" applyBorder="1" applyAlignment="1">
      <alignment horizontal="center" vertical="top"/>
    </xf>
    <xf numFmtId="0" fontId="3" fillId="4" borderId="2" xfId="2"/>
    <xf numFmtId="0" fontId="4" fillId="4" borderId="2" xfId="2" applyFont="1"/>
    <xf numFmtId="0" fontId="3" fillId="4" borderId="3" xfId="2" applyBorder="1"/>
  </cellXfs>
  <cellStyles count="3">
    <cellStyle name="Calculation" xfId="2" builtinId="22"/>
    <cellStyle name="Good" xfId="1" builtinId="26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MEGA\JML\work%20and%20QC\Devyser\brca.28.6.25-run2\Summary.xlsx" TargetMode="External"/><Relationship Id="rId1" Type="http://schemas.openxmlformats.org/officeDocument/2006/relationships/externalLinkPath" Target="/MEGA/JML/work%20and%20QC/Devyser/brca.28.6.25-run2/Summary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MEGA\JML\work%20and%20QC\Devyser\brca.2.7.25.run3\run3%20final.xlsx" TargetMode="External"/><Relationship Id="rId1" Type="http://schemas.openxmlformats.org/officeDocument/2006/relationships/externalLinkPath" Target="/MEGA/JML/work%20and%20QC/Devyser/brca.2.7.25.run3/run3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ummary"/>
    </sheetNames>
    <sheetDataSet>
      <sheetData sheetId="0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tabSelected="1" workbookViewId="0">
      <selection activeCell="A19" sqref="A19"/>
    </sheetView>
  </sheetViews>
  <sheetFormatPr defaultRowHeight="15" x14ac:dyDescent="0.25"/>
  <cols>
    <col min="1" max="1" width="11.7109375" customWidth="1"/>
    <col min="2" max="2" width="15" customWidth="1"/>
    <col min="3" max="3" width="20.140625" customWidth="1"/>
    <col min="4" max="4" width="15" customWidth="1"/>
    <col min="5" max="5" width="15.42578125" customWidth="1"/>
    <col min="6" max="6" width="11.42578125" customWidth="1"/>
    <col min="8" max="8" width="9.140625" customWidth="1"/>
    <col min="9" max="9" width="16.140625" bestFit="1" customWidth="1"/>
    <col min="10" max="10" width="19.7109375" bestFit="1" customWidth="1"/>
  </cols>
  <sheetData>
    <row r="1" spans="1:12" x14ac:dyDescent="0.25">
      <c r="A1" t="s">
        <v>30</v>
      </c>
      <c r="B1" s="2" t="s">
        <v>4</v>
      </c>
      <c r="C1" s="2" t="s">
        <v>5</v>
      </c>
      <c r="D1" t="s">
        <v>6</v>
      </c>
      <c r="E1" t="s">
        <v>27</v>
      </c>
      <c r="F1" t="s">
        <v>7</v>
      </c>
      <c r="G1" t="s">
        <v>8</v>
      </c>
      <c r="H1" t="s">
        <v>28</v>
      </c>
      <c r="I1" t="s">
        <v>29</v>
      </c>
      <c r="J1" t="s">
        <v>34</v>
      </c>
      <c r="K1" t="s">
        <v>33</v>
      </c>
      <c r="L1" t="s">
        <v>43</v>
      </c>
    </row>
    <row r="2" spans="1:12" x14ac:dyDescent="0.25">
      <c r="A2" s="1" t="s">
        <v>9</v>
      </c>
      <c r="B2" s="4" t="s">
        <v>0</v>
      </c>
      <c r="C2" s="3" t="s">
        <v>3</v>
      </c>
      <c r="D2" s="3" t="s">
        <v>17</v>
      </c>
      <c r="E2" s="3" t="s">
        <v>19</v>
      </c>
      <c r="G2" s="5" t="s">
        <v>32</v>
      </c>
      <c r="H2" t="str">
        <f>MID(
  E2,
  SEARCH("HGVSC=",E2) + LEN("HGVSC="),
  SEARCH(";", E2, SEARCH("HGVSC=",E2))
    - (SEARCH("HGVSC=",E2) + LEN("HGVSC="))
)</f>
        <v>c.4370T&gt;A</v>
      </c>
      <c r="I2" t="str">
        <f>MID(
E2,
SEARCH("HGVSP=",E2)+LEN("HGVSP="),
SEARCH(";",E2,SEARCH("HGVSP=",E2))
-(SEARCH("HGVSP=",E2)+LEN("HGVSP="))
)</f>
        <v>p.Leu1457Ter</v>
      </c>
      <c r="J2" s="3" t="s">
        <v>35</v>
      </c>
      <c r="L2" t="str" cm="1">
        <f t="array" ref="L2">_xlfn.IFS(B2="BRCA1","Breast-ovarian cancer, familial, susceptibility to, 1",B2="BRCA2","Breast-ovarian cancer, familial, susceptibility to, 2")</f>
        <v>Breast-ovarian cancer, familial, susceptibility to, 2</v>
      </c>
    </row>
    <row r="3" spans="1:12" x14ac:dyDescent="0.25">
      <c r="A3" s="1" t="s">
        <v>10</v>
      </c>
      <c r="B3" s="3" t="s">
        <v>0</v>
      </c>
      <c r="C3" s="3" t="s">
        <v>3</v>
      </c>
      <c r="D3" s="3" t="s">
        <v>17</v>
      </c>
      <c r="E3" s="3" t="s">
        <v>20</v>
      </c>
      <c r="G3" s="5" t="s">
        <v>31</v>
      </c>
      <c r="H3" t="str">
        <f>MID(
  E3,
  SEARCH("HGVSC=",E3) + LEN("HGVSC="),
  SEARCH(";", E3, SEARCH("HGVSC=",E3))
    - (SEARCH("HGVSC=",E3) + LEN("HGVSC="))
)</f>
        <v>c.126T&gt;A</v>
      </c>
      <c r="I3" t="str">
        <f>MID(
E3,
SEARCH("HGVSP=",E3)+LEN("HGVSP="),
SEARCH(";",E3,SEARCH("HGVSP=",E3))
-(SEARCH("HGVSP=",E3)+LEN("HGVSP="))
)</f>
        <v>p.Tyr42Ter</v>
      </c>
      <c r="J3" s="3" t="s">
        <v>36</v>
      </c>
      <c r="L3" t="str" cm="1">
        <f t="array" ref="L3">_xlfn.IFS(B3="BRCA1","Breast-ovarian cancer, familial, susceptibility to, 1",B3="BRCA2","Breast-ovarian cancer, familial, susceptibility to, 2")</f>
        <v>Breast-ovarian cancer, familial, susceptibility to, 2</v>
      </c>
    </row>
    <row r="4" spans="1:12" x14ac:dyDescent="0.25">
      <c r="A4" s="1" t="s">
        <v>11</v>
      </c>
      <c r="B4" s="3" t="s">
        <v>1</v>
      </c>
      <c r="C4" s="3" t="s">
        <v>3</v>
      </c>
      <c r="D4" s="3" t="s">
        <v>18</v>
      </c>
      <c r="E4" s="3" t="s">
        <v>21</v>
      </c>
      <c r="G4" s="5" t="s">
        <v>31</v>
      </c>
      <c r="H4" t="str">
        <f>MID(
  E4,
  SEARCH("HGVSC=",E4) + LEN("HGVSC="),
  SEARCH(";", E4, SEARCH("HGVSC=",E4))
    - (SEARCH("HGVSC=",E4) + LEN("HGVSC="))
)</f>
        <v>c.68del</v>
      </c>
      <c r="I4" t="str">
        <f>MID(
E4,
SEARCH("HGVSP=",E4)+LEN("HGVSP="),
SEARCH(";",E4,SEARCH("HGVSP=",E4))
-(SEARCH("HGVSP=",E4)+LEN("HGVSP="))
)</f>
        <v>p.Glu23GlyfsTer8</v>
      </c>
      <c r="J4" s="3" t="s">
        <v>37</v>
      </c>
      <c r="L4" t="str" cm="1">
        <f t="array" ref="L4">_xlfn.IFS(B4="BRCA1","Breast-ovarian cancer, familial, susceptibility to, 1",B4="BRCA2","Breast-ovarian cancer, familial, susceptibility to, 2")</f>
        <v>Breast-ovarian cancer, familial, susceptibility to, 1</v>
      </c>
    </row>
    <row r="5" spans="1:12" x14ac:dyDescent="0.25">
      <c r="A5" s="1" t="s">
        <v>13</v>
      </c>
      <c r="B5" s="3" t="s">
        <v>0</v>
      </c>
      <c r="C5" s="3" t="s">
        <v>3</v>
      </c>
      <c r="D5" s="3" t="s">
        <v>17</v>
      </c>
      <c r="E5" s="3" t="s">
        <v>23</v>
      </c>
      <c r="G5" s="5" t="s">
        <v>31</v>
      </c>
      <c r="H5" t="str">
        <f>MID(
  E5,
  SEARCH("HGVSC=",E5) + LEN("HGVSC="),
  SEARCH(";", E5, SEARCH("HGVSC=",E5))
    - (SEARCH("HGVSC=",E5) + LEN("HGVSC="))
)</f>
        <v>c.8632+1G&gt;A</v>
      </c>
      <c r="I5" t="str">
        <f>MID(
E5,
SEARCH("HGVSP=",E5)+LEN("HGVSP="),
SEARCH(";",E5,SEARCH("HGVSP=",E5))
-(SEARCH("HGVSP=",E5)+LEN("HGVSP="))
)</f>
        <v>-</v>
      </c>
      <c r="J5" s="3" t="s">
        <v>39</v>
      </c>
      <c r="L5" t="str" cm="1">
        <f t="array" ref="L5">_xlfn.IFS(B5="BRCA1","Breast-ovarian cancer, familial, susceptibility to, 1",B5="BRCA2","Breast-ovarian cancer, familial, susceptibility to, 2")</f>
        <v>Breast-ovarian cancer, familial, susceptibility to, 2</v>
      </c>
    </row>
    <row r="6" spans="1:12" x14ac:dyDescent="0.25">
      <c r="A6" t="s">
        <v>55</v>
      </c>
      <c r="B6" t="str">
        <f>VLOOKUP(A6,[1]!Table1[[#All],[block no]:[hgvs_c]],21,FALSE)</f>
        <v>BRCA1</v>
      </c>
      <c r="C6" t="str">
        <f>VLOOKUP(A6,[1]!Table1[[#All],[block no]:[hgvs_c]],58,FALSE)</f>
        <v>Likely_pathogenic</v>
      </c>
      <c r="D6" t="str">
        <f>VLOOKUP(A6,[1]!Table1[[#All],[block no]:[hgvs_c]],19,FALSE)</f>
        <v>NM_007294.4</v>
      </c>
      <c r="E6" t="str">
        <f>VLOOKUP(A6,[1]!Table1[[#All],[block no]:[hgvs_c]],9,FALSE)</f>
        <v>AF=0.1162;RS=rs398122691;CLINVARPAT=Uncertain_significance;GENEINFO=BRCA1:672;VCC=H;HGVSC=c.5129G&gt;A;HGVSP=p.Gly1710Glu;HGVSG=chr17:g.41215914C&gt;T;RNA_ACC=NM_007294.4;PROT_ACC=NP_009225.1;CONSEQUENCES=s_MV</v>
      </c>
      <c r="G6" s="5" t="s">
        <v>31</v>
      </c>
      <c r="H6" t="str">
        <f t="shared" ref="H6:H27" si="0">MID(
  E6,
  SEARCH("HGVSC=",E6) + LEN("HGVSC="),
  SEARCH(";", E6, SEARCH("HGVSC=",E6))
    - (SEARCH("HGVSC=",E6) + LEN("HGVSC="))
)</f>
        <v>c.5129G&gt;A</v>
      </c>
      <c r="I6" t="str">
        <f t="shared" ref="I6:I27" si="1">MID(
E6,
SEARCH("HGVSP=",E6)+LEN("HGVSP="),
SEARCH(";",E6,SEARCH("HGVSP=",E6))
-(SEARCH("HGVSP=",E6)+LEN("HGVSP="))
)</f>
        <v>p.Gly1710Glu</v>
      </c>
      <c r="J6" t="str">
        <f>VLOOKUP(A6,[1]!Table1[[#All],[block no]:[hgvs_c]],16,FALSE)</f>
        <v>chr17-41215914-C-T</v>
      </c>
      <c r="L6" t="str" cm="1">
        <f t="array" ref="L6">_xlfn.IFS(B6="BRCA1","Breast-ovarian cancer, familial, susceptibility to, 1",B6="BRCA2","Breast-ovarian cancer, familial, susceptibility to, 2")</f>
        <v>Breast-ovarian cancer, familial, susceptibility to, 1</v>
      </c>
    </row>
    <row r="7" spans="1:12" x14ac:dyDescent="0.25">
      <c r="A7" t="s">
        <v>49</v>
      </c>
      <c r="B7" t="str">
        <f>VLOOKUP(A7,[1]!Table1[[#All],[block no]:[hgvs_c]],21,FALSE)</f>
        <v>BRCA1</v>
      </c>
      <c r="C7" t="str">
        <f>VLOOKUP(A7,[1]!Table1[[#All],[block no]:[hgvs_c]],58,FALSE)</f>
        <v>Pathogenic</v>
      </c>
      <c r="D7" t="str">
        <f>VLOOKUP(A7,[1]!Table1[[#All],[block no]:[hgvs_c]],19,FALSE)</f>
        <v>NM_007294.4</v>
      </c>
      <c r="E7" t="str">
        <f>VLOOKUP(A7,[1]!Table1[[#All],[block no]:[hgvs_c]],9,FALSE)</f>
        <v>AF=0.3915;GENEINFO=BRCA1:672;VCC=H;HGVSC=c.5362G&gt;A;HGVSP=p.Gly1788Ser;HGVSG=chr17:g.41201182C&gt;T;RNA_ACC=NM_007294.4;PROT_ACC=NP_009225.1;CONSEQUENCES=s_MV</v>
      </c>
      <c r="G7" s="5" t="s">
        <v>31</v>
      </c>
      <c r="H7" t="str">
        <f t="shared" si="0"/>
        <v>c.5362G&gt;A</v>
      </c>
      <c r="I7" t="str">
        <f t="shared" si="1"/>
        <v>p.Gly1788Ser</v>
      </c>
      <c r="J7" t="str">
        <f>VLOOKUP(A7,[1]!Table1[[#All],[block no]:[hgvs_c]],16,FALSE)</f>
        <v>chr17-41201182-C-T</v>
      </c>
      <c r="L7" t="str" cm="1">
        <f t="array" ref="L7">_xlfn.IFS(B7="BRCA1","Breast-ovarian cancer, familial, susceptibility to, 1",B7="BRCA2","Breast-ovarian cancer, familial, susceptibility to, 2")</f>
        <v>Breast-ovarian cancer, familial, susceptibility to, 1</v>
      </c>
    </row>
    <row r="8" spans="1:12" x14ac:dyDescent="0.25">
      <c r="A8" t="s">
        <v>51</v>
      </c>
      <c r="B8" t="str">
        <f>VLOOKUP(A8,[1]!Table1[[#All],[block no]:[hgvs_c]],21,FALSE)</f>
        <v>BRCA2</v>
      </c>
      <c r="C8" t="str">
        <f>VLOOKUP(A8,[1]!Table1[[#All],[block no]:[hgvs_c]],58,FALSE)</f>
        <v>Likely_pathogenic</v>
      </c>
      <c r="D8" t="str">
        <f>VLOOKUP(A8,[1]!Table1[[#All],[block no]:[hgvs_c]],19,FALSE)</f>
        <v>NM_000059.4</v>
      </c>
      <c r="E8" t="str">
        <f>VLOOKUP(A8,[1]!Table1[[#All],[block no]:[hgvs_c]],9,FALSE)</f>
        <v>AF=0.1198;GENEINFO=BRCA2:675;VCC=H;HGVSC=c.7754G&gt;A;HGVSP=p.Gly2585Glu;HGVSG=chr13:g.32932015G&gt;A;RNA_ACC=NM_000059.3;PROT_ACC=NP_000050.2;CONSEQUENCES=s_MV</v>
      </c>
      <c r="G8" s="5" t="s">
        <v>31</v>
      </c>
      <c r="H8" t="str">
        <f t="shared" si="0"/>
        <v>c.7754G&gt;A</v>
      </c>
      <c r="I8" t="str">
        <f t="shared" si="1"/>
        <v>p.Gly2585Glu</v>
      </c>
      <c r="J8" t="str">
        <f>VLOOKUP(A8,[1]!Table1[[#All],[block no]:[hgvs_c]],16,FALSE)</f>
        <v>chr13-32932015-G-A</v>
      </c>
      <c r="L8" t="str" cm="1">
        <f t="array" ref="L8">_xlfn.IFS(B8="BRCA1","Breast-ovarian cancer, familial, susceptibility to, 1",B8="BRCA2","Breast-ovarian cancer, familial, susceptibility to, 2")</f>
        <v>Breast-ovarian cancer, familial, susceptibility to, 2</v>
      </c>
    </row>
    <row r="9" spans="1:12" x14ac:dyDescent="0.25">
      <c r="A9" t="s">
        <v>53</v>
      </c>
      <c r="B9" t="str">
        <f>VLOOKUP(A9,[1]!Table1[[#All],[block no]:[hgvs_c]],21,FALSE)</f>
        <v>BRCA2</v>
      </c>
      <c r="C9" t="str">
        <f>VLOOKUP(A9,[1]!Table1[[#All],[block no]:[hgvs_c]],58,FALSE)</f>
        <v>Pathogenic</v>
      </c>
      <c r="D9" t="str">
        <f>VLOOKUP(A9,[1]!Table1[[#All],[block no]:[hgvs_c]],19,FALSE)</f>
        <v>NM_000059.4</v>
      </c>
      <c r="E9" t="str">
        <f>VLOOKUP(A9,[1]!Table1[[#All],[block no]:[hgvs_c]],9,FALSE)</f>
        <v>AF=0.1787;RS=rs80358928;CLINVARPAT=not_provided,Pathogenic;GENEINFO=BRCA2:675;VCC=H;HGVSC=c.7024C&gt;T;HGVSP=p.Gln2342Ter;HGVSG=chr13:g.32929014C&gt;T;RNA_ACC=NM_000059.3;PROT_ACC=NP_000050.2;CONSEQUENCES=s_SPG</v>
      </c>
      <c r="G9" s="5" t="s">
        <v>31</v>
      </c>
      <c r="H9" t="str">
        <f t="shared" si="0"/>
        <v>c.7024C&gt;T</v>
      </c>
      <c r="I9" t="str">
        <f t="shared" si="1"/>
        <v>p.Gln2342Ter</v>
      </c>
      <c r="J9" t="str">
        <f>VLOOKUP(A9,[1]!Table1[[#All],[block no]:[hgvs_c]],16,FALSE)</f>
        <v>chr13-32929014-C-T</v>
      </c>
      <c r="L9" t="str" cm="1">
        <f t="array" ref="L9">_xlfn.IFS(B9="BRCA1","Breast-ovarian cancer, familial, susceptibility to, 1",B9="BRCA2","Breast-ovarian cancer, familial, susceptibility to, 2")</f>
        <v>Breast-ovarian cancer, familial, susceptibility to, 2</v>
      </c>
    </row>
    <row r="10" spans="1:12" x14ac:dyDescent="0.25">
      <c r="A10" t="s">
        <v>58</v>
      </c>
      <c r="B10" t="str">
        <f>VLOOKUP(A10,[1]!Table1[[#All],[block no]:[hgvs_c]],21,FALSE)</f>
        <v>BRCA2</v>
      </c>
      <c r="C10" t="str">
        <f>VLOOKUP(A10,[1]!Table1[[#All],[block no]:[hgvs_c]],58,FALSE)</f>
        <v>Pathogenic</v>
      </c>
      <c r="D10" t="str">
        <f>VLOOKUP(A10,[1]!Table1[[#All],[block no]:[hgvs_c]],19,FALSE)</f>
        <v>NM_000059.4</v>
      </c>
      <c r="E10" t="str">
        <f>VLOOKUP(A10,[1]!Table1[[#All],[block no]:[hgvs_c]],9,FALSE)</f>
        <v>AF=0.0668;RS=rs397507420,*_rs876660532;CLINVARPAT=Pathogenic,not_provided,Pathogenic;GENEINFO=BRCA2:675;VCC=H;HGVSC=c.9097del;HGVSP=p.Thr3033LeufsTer29;HGVSG=chr13:g.32954030del;RNA_ACC=NM_000059.3;PROT_ACC=NP_000050.2;CONSEQUENCES=d_CDS_FS</v>
      </c>
      <c r="G10" s="5" t="s">
        <v>31</v>
      </c>
      <c r="H10" t="str">
        <f t="shared" si="0"/>
        <v>c.9097del</v>
      </c>
      <c r="I10" t="str">
        <f t="shared" si="1"/>
        <v>p.Thr3033LeufsTer29</v>
      </c>
      <c r="J10" t="str">
        <f>VLOOKUP(A10,[1]!Table1[[#All],[block no]:[hgvs_c]],16,FALSE)</f>
        <v>chr13-32954029-AA-A</v>
      </c>
      <c r="L10" t="str" cm="1">
        <f t="array" ref="L10">_xlfn.IFS(B10="BRCA1","Breast-ovarian cancer, familial, susceptibility to, 1",B10="BRCA2","Breast-ovarian cancer, familial, susceptibility to, 2")</f>
        <v>Breast-ovarian cancer, familial, susceptibility to, 2</v>
      </c>
    </row>
    <row r="11" spans="1:12" x14ac:dyDescent="0.25">
      <c r="A11" t="s">
        <v>56</v>
      </c>
      <c r="B11" t="str">
        <f>VLOOKUP(A11,[1]!Table1[[#All],[block no]:[hgvs_c]],21,FALSE)</f>
        <v>BRCA1</v>
      </c>
      <c r="C11" t="str">
        <f>VLOOKUP(A11,[1]!Table1[[#All],[block no]:[hgvs_c]],58,FALSE)</f>
        <v>Pathogenic</v>
      </c>
      <c r="D11" t="str">
        <f>VLOOKUP(A11,[1]!Table1[[#All],[block no]:[hgvs_c]],19,FALSE)</f>
        <v>NM_007294.4</v>
      </c>
      <c r="E11" t="str">
        <f>VLOOKUP(A11,[1]!Table1[[#All],[block no]:[hgvs_c]],9,FALSE)</f>
        <v>AF=0.1991;RS=rs80357093;CLINVARPAT=not_provided,other,Pathogenic;GENEINFO=BRCA1:672;VCC=H;HGVSC=c.182G&gt;A;HGVSP=p.Cys61Tyr;HGVSG=chr17:g.41258503C&gt;T;RNA_ACC=NM_007294.4;PROT_ACC=NP_009225.1;CONSEQUENCES=s_MV</v>
      </c>
      <c r="G11" s="5" t="s">
        <v>31</v>
      </c>
      <c r="H11" t="str">
        <f t="shared" si="0"/>
        <v>c.182G&gt;A</v>
      </c>
      <c r="I11" t="str">
        <f t="shared" si="1"/>
        <v>p.Cys61Tyr</v>
      </c>
      <c r="J11" t="str">
        <f>VLOOKUP(A11,[1]!Table1[[#All],[block no]:[hgvs_c]],16,FALSE)</f>
        <v>chr17-41258503-C-T</v>
      </c>
      <c r="L11" t="str" cm="1">
        <f t="array" ref="L11">_xlfn.IFS(B11="BRCA1","Breast-ovarian cancer, familial, susceptibility to, 1",B11="BRCA2","Breast-ovarian cancer, familial, susceptibility to, 2")</f>
        <v>Breast-ovarian cancer, familial, susceptibility to, 1</v>
      </c>
    </row>
    <row r="12" spans="1:12" x14ac:dyDescent="0.25">
      <c r="A12" t="s">
        <v>54</v>
      </c>
      <c r="B12" t="str">
        <f>VLOOKUP(A12,[1]!Table1[[#All],[block no]:[hgvs_c]],21,FALSE)</f>
        <v>BRCA1</v>
      </c>
      <c r="C12" t="str">
        <f>VLOOKUP(A12,[1]!Table1[[#All],[block no]:[hgvs_c]],58,FALSE)</f>
        <v>Pathogenic</v>
      </c>
      <c r="D12" t="str">
        <f>VLOOKUP(A12,[1]!Table1[[#All],[block no]:[hgvs_c]],19,FALSE)</f>
        <v>NM_007294.4</v>
      </c>
      <c r="E12" t="str">
        <f>VLOOKUP(A12,[1]!Table1[[#All],[block no]:[hgvs_c]],9,FALSE)</f>
        <v>AF=0.0969;RS=rs878854957;CLINVARPAT=Pathogenic,Uncertain_significance;GENEINFO=BRCA1:672;VCC=H;HGVSC=c.5161C&gt;T;HGVSP=p.Gln1721Ter;HGVSG=chr17:g.41215382G&gt;A;RNA_ACC=NM_007294.4;PROT_ACC=NP_009225.1;CONSEQUENCES=s_SPG</v>
      </c>
      <c r="G12" s="5" t="s">
        <v>31</v>
      </c>
      <c r="H12" t="str">
        <f t="shared" si="0"/>
        <v>c.5161C&gt;T</v>
      </c>
      <c r="I12" t="str">
        <f t="shared" si="1"/>
        <v>p.Gln1721Ter</v>
      </c>
      <c r="J12" t="str">
        <f>VLOOKUP(A12,[1]!Table1[[#All],[block no]:[hgvs_c]],16,FALSE)</f>
        <v>chr17-41215382-G-A</v>
      </c>
      <c r="L12" t="str" cm="1">
        <f t="array" ref="L12">_xlfn.IFS(B12="BRCA1","Breast-ovarian cancer, familial, susceptibility to, 1",B12="BRCA2","Breast-ovarian cancer, familial, susceptibility to, 2")</f>
        <v>Breast-ovarian cancer, familial, susceptibility to, 1</v>
      </c>
    </row>
    <row r="13" spans="1:12" x14ac:dyDescent="0.25">
      <c r="A13" t="s">
        <v>52</v>
      </c>
      <c r="B13" t="str">
        <f>VLOOKUP(A13,[1]!Table1[[#All],[block no]:[hgvs_c]],21,FALSE)</f>
        <v>BRCA1</v>
      </c>
      <c r="C13" t="str">
        <f>VLOOKUP(A13,[1]!Table1[[#All],[block no]:[hgvs_c]],58,FALSE)</f>
        <v>Pathogenic</v>
      </c>
      <c r="D13" t="str">
        <f>VLOOKUP(A13,[1]!Table1[[#All],[block no]:[hgvs_c]],19,FALSE)</f>
        <v>NM_007294.4</v>
      </c>
      <c r="E13" t="str">
        <f>VLOOKUP(A13,[1]!Table1[[#All],[block no]:[hgvs_c]],9,FALSE)</f>
        <v>AF=0.1187;RS=rs80357093;CLINVARPAT=not_provided,other,Pathogenic;GENEINFO=BRCA1:672;VCC=H;HGVSC=c.182G&gt;A;HGVSP=p.Cys61Tyr;HGVSG=chr17:g.41258503C&gt;T;RNA_ACC=NM_007294.4;PROT_ACC=NP_009225.1;CONSEQUENCES=s_MV</v>
      </c>
      <c r="G13" s="5" t="s">
        <v>31</v>
      </c>
      <c r="H13" t="str">
        <f t="shared" si="0"/>
        <v>c.182G&gt;A</v>
      </c>
      <c r="I13" t="str">
        <f t="shared" si="1"/>
        <v>p.Cys61Tyr</v>
      </c>
      <c r="J13" t="str">
        <f>VLOOKUP(A13,[1]!Table1[[#All],[block no]:[hgvs_c]],16,FALSE)</f>
        <v>chr17-41258503-C-T</v>
      </c>
      <c r="L13" t="str" cm="1">
        <f t="array" ref="L13">_xlfn.IFS(B13="BRCA1","Breast-ovarian cancer, familial, susceptibility to, 1",B13="BRCA2","Breast-ovarian cancer, familial, susceptibility to, 2")</f>
        <v>Breast-ovarian cancer, familial, susceptibility to, 1</v>
      </c>
    </row>
    <row r="14" spans="1:12" x14ac:dyDescent="0.25">
      <c r="A14" t="s">
        <v>57</v>
      </c>
      <c r="B14" t="str">
        <f>VLOOKUP(A14,[1]!Table1[[#All],[block no]:[hgvs_c]],21,FALSE)</f>
        <v>BRCA2</v>
      </c>
      <c r="C14" t="str">
        <f>VLOOKUP(A14,[1]!Table1[[#All],[block no]:[hgvs_c]],58,FALSE)</f>
        <v>Pathogenic</v>
      </c>
      <c r="D14" t="str">
        <f>VLOOKUP(A14,[1]!Table1[[#All],[block no]:[hgvs_c]],19,FALSE)</f>
        <v>NM_000059.4</v>
      </c>
      <c r="E14" t="str">
        <f>VLOOKUP(A14,[1]!Table1[[#All],[block no]:[hgvs_c]],9,FALSE)</f>
        <v>AF=0.238;GENEINFO=BRCA2:675;VCC=L;HGVSC=c.3989dup;HGVSP=p.Asn1330LysfsTer4;HGVSG=chr13:g.32912481dup;RNA_ACC=NM_000059.3;PROT_ACC=NP_000050.2;CONSEQUENCES=i_CDS_FS</v>
      </c>
      <c r="G14" s="5" t="s">
        <v>31</v>
      </c>
      <c r="H14" t="str">
        <f t="shared" si="0"/>
        <v>c.3989dup</v>
      </c>
      <c r="I14" t="str">
        <f t="shared" si="1"/>
        <v>p.Asn1330LysfsTer4</v>
      </c>
      <c r="J14" t="str">
        <f>VLOOKUP(A14,[1]!Table1[[#All],[block no]:[hgvs_c]],16,FALSE)</f>
        <v>chr13-32912481-A-AA</v>
      </c>
      <c r="L14" t="str" cm="1">
        <f t="array" ref="L14">_xlfn.IFS(B14="BRCA1","Breast-ovarian cancer, familial, susceptibility to, 1",B14="BRCA2","Breast-ovarian cancer, familial, susceptibility to, 2")</f>
        <v>Breast-ovarian cancer, familial, susceptibility to, 2</v>
      </c>
    </row>
    <row r="15" spans="1:12" x14ac:dyDescent="0.25">
      <c r="A15" t="s">
        <v>47</v>
      </c>
      <c r="B15" t="str">
        <f>VLOOKUP(A15,[1]!Table1[[#All],[block no]:[hgvs_c]],21,FALSE)</f>
        <v>BRCA1</v>
      </c>
      <c r="C15" t="str">
        <f>VLOOKUP(A15,[1]!Table1[[#All],[block no]:[hgvs_c]],58,FALSE)</f>
        <v>Pathogenic</v>
      </c>
      <c r="D15" t="str">
        <f>VLOOKUP(A15,[1]!Table1[[#All],[block no]:[hgvs_c]],19,FALSE)</f>
        <v>NM_007294.4</v>
      </c>
      <c r="E15" t="str">
        <f>VLOOKUP(A15,[1]!Table1[[#All],[block no]:[hgvs_c]],9,FALSE)</f>
        <v>AF=0.0886;GENEINFO=BRCA1:672;VCC=L;HGVSC=c.4367dup;HGVSP=p.Ser1457PhefsTer5;HGVSG=chr17:g.41228622dup;RNA_ACC=NM_007294.4;PROT_ACC=NP_009225.1;CONSEQUENCES=i_CDS_FS</v>
      </c>
      <c r="G15" s="5" t="s">
        <v>31</v>
      </c>
      <c r="H15" t="str">
        <f t="shared" si="0"/>
        <v>c.4367dup</v>
      </c>
      <c r="I15" t="str">
        <f t="shared" si="1"/>
        <v>p.Ser1457PhefsTer5</v>
      </c>
      <c r="J15" t="str">
        <f>VLOOKUP(A15,[1]!Table1[[#All],[block no]:[hgvs_c]],16,FALSE)</f>
        <v>chr17-41228622-G-GG</v>
      </c>
      <c r="L15" t="str" cm="1">
        <f t="array" ref="L15">_xlfn.IFS(B15="BRCA1","Breast-ovarian cancer, familial, susceptibility to, 1",B15="BRCA2","Breast-ovarian cancer, familial, susceptibility to, 2")</f>
        <v>Breast-ovarian cancer, familial, susceptibility to, 1</v>
      </c>
    </row>
    <row r="16" spans="1:12" x14ac:dyDescent="0.25">
      <c r="A16" t="s">
        <v>48</v>
      </c>
      <c r="B16" t="str">
        <f>VLOOKUP(A16,[1]!Table1[[#All],[block no]:[hgvs_c]],21,FALSE)</f>
        <v>BRCA2</v>
      </c>
      <c r="C16" t="str">
        <f>VLOOKUP(A16,[1]!Table1[[#All],[block no]:[hgvs_c]],58,FALSE)</f>
        <v>Likely_pathogenic</v>
      </c>
      <c r="D16" t="str">
        <f>VLOOKUP(A16,[1]!Table1[[#All],[block no]:[hgvs_c]],19,FALSE)</f>
        <v>NM_000059.4</v>
      </c>
      <c r="E16" t="str">
        <f>VLOOKUP(A16,[1]!Table1[[#All],[block no]:[hgvs_c]],9,FALSE)</f>
        <v>AF=0.9657;RS=rs80358995;CLINVARPAT=other,not_provided,Uncertain_significance;GENEINFO=BRCA2:675;VCC=H;HGVSC=c.7684T&gt;C;HGVSP=p.Phe2562Leu;HGVSG=chr13:g.32931945T&gt;C;RNA_ACC=NM_000059.3;PROT_ACC=NP_000050.2;CONSEQUENCES=s_MV</v>
      </c>
      <c r="G16" s="5" t="s">
        <v>32</v>
      </c>
      <c r="H16" t="str">
        <f t="shared" si="0"/>
        <v>c.7684T&gt;C</v>
      </c>
      <c r="I16" t="str">
        <f t="shared" si="1"/>
        <v>p.Phe2562Leu</v>
      </c>
      <c r="J16" t="str">
        <f>VLOOKUP(A16,[1]!Table1[[#All],[block no]:[hgvs_c]],16,FALSE)</f>
        <v>chr13-32931945-T-C</v>
      </c>
      <c r="L16" t="str" cm="1">
        <f t="array" ref="L16">_xlfn.IFS(B16="BRCA1","Breast-ovarian cancer, familial, susceptibility to, 1",B16="BRCA2","Breast-ovarian cancer, familial, susceptibility to, 2")</f>
        <v>Breast-ovarian cancer, familial, susceptibility to, 2</v>
      </c>
    </row>
    <row r="17" spans="1:12" x14ac:dyDescent="0.25">
      <c r="A17" t="s">
        <v>50</v>
      </c>
      <c r="B17" t="str">
        <f>VLOOKUP(A17,[1]!Table1[[#All],[block no]:[hgvs_c]],21,FALSE)</f>
        <v>BRCA2</v>
      </c>
      <c r="C17" t="str">
        <f>VLOOKUP(A17,[1]!Table1[[#All],[block no]:[hgvs_c]],58,FALSE)</f>
        <v>Pathogenic</v>
      </c>
      <c r="D17" t="str">
        <f>VLOOKUP(A17,[1]!Table1[[#All],[block no]:[hgvs_c]],19,FALSE)</f>
        <v>NM_000059.4</v>
      </c>
      <c r="E17" t="str">
        <f>VLOOKUP(A17,[1]!Table1[[#All],[block no]:[hgvs_c]],9,FALSE)</f>
        <v>AF=0.9074;RS=rs397507409;CLINVARPAT=Pathogenic;GENEINFO=BRCA2:675;VCC=H;HGVSC=c.8677C&gt;T;HGVSP=p.Gln2893Ter;HGVSG=chr13:g.32950851C&gt;T;RNA_ACC=NM_000059.3;PROT_ACC=NP_000050.2;CONSEQUENCES=s_SPG</v>
      </c>
      <c r="G17" s="5" t="s">
        <v>32</v>
      </c>
      <c r="H17" t="str">
        <f t="shared" si="0"/>
        <v>c.8677C&gt;T</v>
      </c>
      <c r="I17" t="str">
        <f t="shared" si="1"/>
        <v>p.Gln2893Ter</v>
      </c>
      <c r="J17" t="str">
        <f>VLOOKUP(A17,[1]!Table1[[#All],[block no]:[hgvs_c]],16,FALSE)</f>
        <v>chr13-32950851-C-T</v>
      </c>
      <c r="L17" t="str" cm="1">
        <f t="array" ref="L17">_xlfn.IFS(B17="BRCA1","Breast-ovarian cancer, familial, susceptibility to, 1",B17="BRCA2","Breast-ovarian cancer, familial, susceptibility to, 2")</f>
        <v>Breast-ovarian cancer, familial, susceptibility to, 2</v>
      </c>
    </row>
    <row r="18" spans="1:12" x14ac:dyDescent="0.25">
      <c r="A18" t="s">
        <v>44</v>
      </c>
      <c r="B18" t="str">
        <f>VLOOKUP(A18,[2]!Table1[#All],22,FALSE)</f>
        <v>BRCA1</v>
      </c>
      <c r="C18" t="str">
        <f>VLOOKUP(A18,[2]!Table1[#All],59,FALSE)</f>
        <v>Likely_pathogenic</v>
      </c>
      <c r="D18" t="str">
        <f>VLOOKUP(A18,[2]!Table1[#All],20,FALSE)</f>
        <v>NM_007294.4</v>
      </c>
      <c r="E18" t="str">
        <f>VLOOKUP(A18,[2]!Table1[#All],10,FALSE)</f>
        <v>AF=0.4042;GENEINFO=BRCA1:672;VCC=H;HGVSC=c.5513T&gt;C;HGVSP=p.Val1838Ala;HGVSG=chr17:g.41197774A&gt;G;RNA_ACC=NM_007294.4;PROT_ACC=NP_009225.1;CONSEQUENCES=s_MV</v>
      </c>
      <c r="G18" s="5" t="s">
        <v>31</v>
      </c>
      <c r="H18" t="str">
        <f t="shared" si="0"/>
        <v>c.5513T&gt;C</v>
      </c>
      <c r="I18" t="str">
        <f t="shared" si="1"/>
        <v>p.Val1838Ala</v>
      </c>
      <c r="J18" t="str">
        <f>VLOOKUP(A18,[2]!Table1[#All],17,FALSE)</f>
        <v>chr17-41197774-A-G</v>
      </c>
      <c r="L18" t="str" cm="1">
        <f t="array" ref="L18">_xlfn.IFS(B18="BRCA1","Breast-ovarian cancer, familial, susceptibility to, 1",B18="BRCA2","Breast-ovarian cancer, familial, susceptibility to, 2")</f>
        <v>Breast-ovarian cancer, familial, susceptibility to, 1</v>
      </c>
    </row>
    <row r="19" spans="1:12" x14ac:dyDescent="0.25">
      <c r="A19" t="s">
        <v>45</v>
      </c>
      <c r="B19" t="str">
        <f>VLOOKUP(A19,[2]!Table1[#All],22,FALSE)</f>
        <v>BRCA1</v>
      </c>
      <c r="C19" t="str">
        <f>VLOOKUP(A19,[2]!Table1[#All],59,FALSE)</f>
        <v>Pathogenic</v>
      </c>
      <c r="D19" t="str">
        <f>VLOOKUP(A19,[2]!Table1[#All],20,FALSE)</f>
        <v>NM_007294.4</v>
      </c>
      <c r="E19" t="str">
        <f>VLOOKUP(A19,[2]!Table1[#All],10,FALSE)</f>
        <v>AF=0.1513;RS=rs80357284;CLINVARPAT=Pathogenic,not_provided,Pathogenic;GENEINFO=BRCA1:672;VCC=H;HGVSC=c.5346G&gt;A;HGVSP=p.Trp1782Ter;HGVSG=chr17:g.41201198C&gt;T;RNA_ACC=NM_007294.4;PROT_ACC=NP_009225.1;CONSEQUENCES=s_SPG</v>
      </c>
      <c r="G19" s="5" t="s">
        <v>31</v>
      </c>
      <c r="H19" t="str">
        <f t="shared" si="0"/>
        <v>c.5346G&gt;A</v>
      </c>
      <c r="I19" t="str">
        <f t="shared" si="1"/>
        <v>p.Trp1782Ter</v>
      </c>
      <c r="J19" t="str">
        <f>VLOOKUP(A19,[2]!Table1[#All],17,FALSE)</f>
        <v>chr17-41201198-C-T</v>
      </c>
      <c r="L19" t="str" cm="1">
        <f t="array" ref="L19">_xlfn.IFS(B19="BRCA1","Breast-ovarian cancer, familial, susceptibility to, 1",B19="BRCA2","Breast-ovarian cancer, familial, susceptibility to, 2")</f>
        <v>Breast-ovarian cancer, familial, susceptibility to, 1</v>
      </c>
    </row>
    <row r="20" spans="1:12" x14ac:dyDescent="0.25">
      <c r="A20" t="s">
        <v>46</v>
      </c>
      <c r="B20" t="str">
        <f>VLOOKUP(A20,[2]!Table1[#All],22,FALSE)</f>
        <v>BRCA1</v>
      </c>
      <c r="C20" t="str">
        <f>VLOOKUP(A20,[2]!Table1[#All],59,FALSE)</f>
        <v>Pathogenic</v>
      </c>
      <c r="D20" t="str">
        <f>VLOOKUP(A20,[2]!Table1[#All],20,FALSE)</f>
        <v>NM_007294.4</v>
      </c>
      <c r="E20" t="str">
        <f>VLOOKUP(A20,[2]!Table1[#All],10,FALSE)</f>
        <v>AF=0.556;RS=rs886040335;CLINVARPAT=Pathogenic;GENEINFO=BRCA1:672;VCC=H;HGVSC=c.963G&gt;A;HGVSP=p.Trp321Ter;HGVSG=chr17:g.41246585C&gt;T;RNA_ACC=NM_007294.4;PROT_ACC=NP_009225.1;CONSEQUENCES=s_SPG</v>
      </c>
      <c r="G20" s="5" t="s">
        <v>31</v>
      </c>
      <c r="H20" t="str">
        <f t="shared" si="0"/>
        <v>c.963G&gt;A</v>
      </c>
      <c r="I20" t="str">
        <f t="shared" si="1"/>
        <v>p.Trp321Ter</v>
      </c>
      <c r="J20" t="str">
        <f>VLOOKUP(A20,[2]!Table1[#All],17,FALSE)</f>
        <v>chr17-41246585-C-T</v>
      </c>
      <c r="L20" t="str" cm="1">
        <f t="array" ref="L20">_xlfn.IFS(B20="BRCA1","Breast-ovarian cancer, familial, susceptibility to, 1",B20="BRCA2","Breast-ovarian cancer, familial, susceptibility to, 2")</f>
        <v>Breast-ovarian cancer, familial, susceptibility to, 1</v>
      </c>
    </row>
    <row r="21" spans="1:12" x14ac:dyDescent="0.25">
      <c r="A21">
        <v>5200</v>
      </c>
      <c r="B21" t="str">
        <f>VLOOKUP(A21,[2]!Table1[#All],22,FALSE)</f>
        <v>BRCA1</v>
      </c>
      <c r="C21" t="str">
        <f>VLOOKUP(A21,[2]!Table1[#All],59,FALSE)</f>
        <v>Likely_pathogenic</v>
      </c>
      <c r="D21" t="str">
        <f>VLOOKUP(A21,[2]!Table1[#All],20,FALSE)</f>
        <v>NM_007294.4</v>
      </c>
      <c r="E21" t="str">
        <f>VLOOKUP(A21,[2]!Table1[#All],10,FALSE)</f>
        <v>AF=0.1434;GENEINFO=BRCA1:672;VCC=H;HGVSC=c.593G&gt;A;HGVSP=p.Ser198Asn;HGVSG=chr17:g.41249261C&gt;T;RNA_ACC=NM_007294.4;PROT_ACC=NP_009225.1;CONSEQUENCES=s_MV,SRV</v>
      </c>
      <c r="G21" s="5" t="s">
        <v>31</v>
      </c>
      <c r="H21" t="str">
        <f t="shared" si="0"/>
        <v>c.593G&gt;A</v>
      </c>
      <c r="I21" t="str">
        <f t="shared" si="1"/>
        <v>p.Ser198Asn</v>
      </c>
      <c r="J21" t="str">
        <f>VLOOKUP(A21,[2]!Table1[#All],17,FALSE)</f>
        <v>chr17-41249261-C-T</v>
      </c>
      <c r="L21" t="str" cm="1">
        <f t="array" ref="L21">_xlfn.IFS(B21="BRCA1","Breast-ovarian cancer, familial, susceptibility to, 1",B21="BRCA2","Breast-ovarian cancer, familial, susceptibility to, 2")</f>
        <v>Breast-ovarian cancer, familial, susceptibility to, 1</v>
      </c>
    </row>
    <row r="22" spans="1:12" x14ac:dyDescent="0.25">
      <c r="A22">
        <v>3918</v>
      </c>
      <c r="B22" t="str">
        <f>VLOOKUP(A22,[2]!Table1[#All],22,FALSE)</f>
        <v>BRCA2</v>
      </c>
      <c r="C22" t="str">
        <f>VLOOKUP(A22,[2]!Table1[#All],59,FALSE)</f>
        <v>Pathogenic</v>
      </c>
      <c r="D22" t="str">
        <f>VLOOKUP(A22,[2]!Table1[#All],20,FALSE)</f>
        <v>NM_000059.4</v>
      </c>
      <c r="E22" t="str">
        <f>VLOOKUP(A22,[2]!Table1[#All],10,FALSE)</f>
        <v>AF=0.1859;RS=rs886040685;CLINVARPAT=Pathogenic;GENEINFO=BRCA2:675;VCC=H;HGVSC=c.7033C&gt;T;HGVSP=p.Gln2345Ter;HGVSG=chr13:g.32929023C&gt;T;RNA_ACC=NM_000059.3;PROT_ACC=NP_000050.2;CONSEQUENCES=s_SPG</v>
      </c>
      <c r="G22" s="5" t="s">
        <v>31</v>
      </c>
      <c r="H22" t="str">
        <f t="shared" si="0"/>
        <v>c.7033C&gt;T</v>
      </c>
      <c r="I22" t="str">
        <f t="shared" si="1"/>
        <v>p.Gln2345Ter</v>
      </c>
      <c r="J22" t="str">
        <f>VLOOKUP(A22,[2]!Table1[#All],17,FALSE)</f>
        <v>chr13-32929023-C-T</v>
      </c>
      <c r="L22" t="str" cm="1">
        <f t="array" ref="L22">_xlfn.IFS(B22="BRCA1","Breast-ovarian cancer, familial, susceptibility to, 1",B22="BRCA2","Breast-ovarian cancer, familial, susceptibility to, 2")</f>
        <v>Breast-ovarian cancer, familial, susceptibility to, 2</v>
      </c>
    </row>
    <row r="23" spans="1:12" x14ac:dyDescent="0.25">
      <c r="A23" t="s">
        <v>59</v>
      </c>
      <c r="B23" t="str">
        <f>VLOOKUP(A23,[2]!Table1[#All],22,FALSE)</f>
        <v>BRCA1</v>
      </c>
      <c r="C23" t="str">
        <f>VLOOKUP(A23,[2]!Table1[#All],59,FALSE)</f>
        <v>Likely_pathogenic</v>
      </c>
      <c r="D23" t="str">
        <f>VLOOKUP(A23,[2]!Table1[#All],20,FALSE)</f>
        <v>NM_007294.4</v>
      </c>
      <c r="E23" t="str">
        <f>VLOOKUP(A23,[2]!Table1[#All],10,FALSE)</f>
        <v>AF=0.1214;GENEINFO=BRCA1:672;VCC=H;HGVSC=c.4357G&gt;A;HGVSP=p.Ala1453Thr;HGVSG=chr17:g.41234421C&gt;T;RNA_ACC=NM_007294.4;PROT_ACC=NP_009225.1;CONSEQUENCES=s_MV,SRV</v>
      </c>
      <c r="G23" s="5" t="s">
        <v>31</v>
      </c>
      <c r="H23" t="str">
        <f t="shared" si="0"/>
        <v>c.4357G&gt;A</v>
      </c>
      <c r="I23" t="str">
        <f t="shared" si="1"/>
        <v>p.Ala1453Thr</v>
      </c>
      <c r="J23" t="str">
        <f>VLOOKUP(A23,[2]!Table1[#All],17,FALSE)</f>
        <v>chr17-41234421-C-T</v>
      </c>
      <c r="L23" t="str" cm="1">
        <f t="array" ref="L23">_xlfn.IFS(B23="BRCA1","Breast-ovarian cancer, familial, susceptibility to, 1",B23="BRCA2","Breast-ovarian cancer, familial, susceptibility to, 2")</f>
        <v>Breast-ovarian cancer, familial, susceptibility to, 1</v>
      </c>
    </row>
    <row r="24" spans="1:12" x14ac:dyDescent="0.25">
      <c r="A24" t="s">
        <v>60</v>
      </c>
      <c r="B24" t="str">
        <f>VLOOKUP(A24,[2]!Table1[#All],22,FALSE)</f>
        <v>BRCA1</v>
      </c>
      <c r="C24" t="str">
        <f>VLOOKUP(A24,[2]!Table1[#All],59,FALSE)</f>
        <v>Pathogenic</v>
      </c>
      <c r="D24" t="str">
        <f>VLOOKUP(A24,[2]!Table1[#All],20,FALSE)</f>
        <v>NM_007294.4</v>
      </c>
      <c r="E24" t="str">
        <f>VLOOKUP(A24,[2]!Table1[#All],10,FALSE)</f>
        <v>AF=0.2495;GENEINFO=BRCA1:672;VCC=H;HGVSC=c.5476C&gt;T;HGVSP=p.Gln1826Ter;HGVSG=chr17:g.41197811G&gt;A;RNA_ACC=NM_007294.4;PROT_ACC=NP_009225.1;CONSEQUENCES=s_SPG</v>
      </c>
      <c r="G24" s="5" t="s">
        <v>31</v>
      </c>
      <c r="H24" t="str">
        <f t="shared" si="0"/>
        <v>c.5476C&gt;T</v>
      </c>
      <c r="I24" t="str">
        <f t="shared" si="1"/>
        <v>p.Gln1826Ter</v>
      </c>
      <c r="J24" t="str">
        <f>VLOOKUP(A24,[2]!Table1[#All],17,FALSE)</f>
        <v>chr17-41197811-G-A</v>
      </c>
      <c r="L24" t="str" cm="1">
        <f t="array" ref="L24">_xlfn.IFS(B24="BRCA1","Breast-ovarian cancer, familial, susceptibility to, 1",B24="BRCA2","Breast-ovarian cancer, familial, susceptibility to, 2")</f>
        <v>Breast-ovarian cancer, familial, susceptibility to, 1</v>
      </c>
    </row>
    <row r="25" spans="1:12" x14ac:dyDescent="0.25">
      <c r="A25">
        <v>205</v>
      </c>
      <c r="B25" t="str">
        <f>VLOOKUP(A25,[2]!Table1[#All],22,FALSE)</f>
        <v>BRCA2</v>
      </c>
      <c r="C25" t="str">
        <f>VLOOKUP(A25,[2]!Table1[#All],59,FALSE)</f>
        <v>Pathogenic</v>
      </c>
      <c r="D25" t="str">
        <f>VLOOKUP(A25,[2]!Table1[#All],20,FALSE)</f>
        <v>NM_000059.4</v>
      </c>
      <c r="E25" t="str">
        <f>VLOOKUP(A25,[2]!Table1[#All],10,FALSE)</f>
        <v>AF=0.519;RS=rs80359152;CLINVARPAT=other,Pathogenic,Likely_pathogenic,Pathogenic;GENEINFO=BRCA2:675;VCC=H;HGVSC=c.9004G&gt;A;HGVSP=p.Glu3002Lys;HGVSG=chr13:g.32953937G&gt;A;RNA_ACC=NM_000059.3;PROT_ACC=NP_000050.2;CONSEQUENCES=s_MV</v>
      </c>
      <c r="G25" s="5" t="s">
        <v>31</v>
      </c>
      <c r="H25" t="str">
        <f t="shared" si="0"/>
        <v>c.9004G&gt;A</v>
      </c>
      <c r="I25" t="str">
        <f t="shared" si="1"/>
        <v>p.Glu3002Lys</v>
      </c>
      <c r="J25" t="str">
        <f>VLOOKUP(A25,[2]!Table1[#All],17,FALSE)</f>
        <v>chr13-32953937-G-A</v>
      </c>
      <c r="L25" t="str" cm="1">
        <f t="array" ref="L25">_xlfn.IFS(B25="BRCA1","Breast-ovarian cancer, familial, susceptibility to, 1",B25="BRCA2","Breast-ovarian cancer, familial, susceptibility to, 2")</f>
        <v>Breast-ovarian cancer, familial, susceptibility to, 2</v>
      </c>
    </row>
    <row r="26" spans="1:12" x14ac:dyDescent="0.25">
      <c r="A26" t="s">
        <v>61</v>
      </c>
      <c r="B26" t="str">
        <f>VLOOKUP(A26,[2]!Table1[#All],22,FALSE)</f>
        <v>BRCA1</v>
      </c>
      <c r="C26" t="str">
        <f>VLOOKUP(A26,[2]!Table1[#All],59,FALSE)</f>
        <v>Pathogenic</v>
      </c>
      <c r="D26" t="str">
        <f>VLOOKUP(A26,[2]!Table1[#All],20,FALSE)</f>
        <v>NM_007294.4</v>
      </c>
      <c r="E26" t="str">
        <f>VLOOKUP(A26,[2]!Table1[#All],10,FALSE)</f>
        <v>AF=0.1133;RS=rs80357219;CLINVARPAT=not_provided,Pathogenic;GENEINFO=BRCA1:672;VCC=H;HGVSC=c.5345G&gt;A;HGVSP=p.Trp1782Ter;HGVSG=chr17:g.41201199C&gt;T;RNA_ACC=NM_007294.4;PROT_ACC=NP_009225.1;CONSEQUENCES=s_SPG</v>
      </c>
      <c r="G26" s="5" t="s">
        <v>31</v>
      </c>
      <c r="H26" t="str">
        <f t="shared" si="0"/>
        <v>c.5345G&gt;A</v>
      </c>
      <c r="I26" t="str">
        <f t="shared" si="1"/>
        <v>p.Trp1782Ter</v>
      </c>
      <c r="J26" t="str">
        <f>VLOOKUP(A26,[2]!Table1[#All],17,FALSE)</f>
        <v>chr17-41201199-C-T</v>
      </c>
      <c r="L26" t="str" cm="1">
        <f t="array" ref="L26">_xlfn.IFS(B26="BRCA1","Breast-ovarian cancer, familial, susceptibility to, 1",B26="BRCA2","Breast-ovarian cancer, familial, susceptibility to, 2")</f>
        <v>Breast-ovarian cancer, familial, susceptibility to, 1</v>
      </c>
    </row>
    <row r="27" spans="1:12" x14ac:dyDescent="0.25">
      <c r="A27" t="s">
        <v>62</v>
      </c>
      <c r="B27" t="str">
        <f>VLOOKUP(A27,[2]!Table1[#All],22,FALSE)</f>
        <v>BRCA2</v>
      </c>
      <c r="C27" t="str">
        <f>VLOOKUP(A27,[2]!Table1[#All],59,FALSE)</f>
        <v>Pathogenic</v>
      </c>
      <c r="D27" t="str">
        <f>VLOOKUP(A27,[2]!Table1[#All],20,FALSE)</f>
        <v>NM_000059.4</v>
      </c>
      <c r="E27" t="str">
        <f>VLOOKUP(A27,[2]!Table1[#All],10,FALSE)</f>
        <v>AF=0.1301;GENEINFO=BRCA2:675;VCC=H;HGVSC=c.2890A&gt;T;HGVSP=p.Lys964Ter;HGVSG=chr13:g.32911382A&gt;T;RNA_ACC=NM_000059.3;PROT_ACC=NP_000050.2;CONSEQUENCES=s_SPG</v>
      </c>
      <c r="G27" s="5" t="s">
        <v>31</v>
      </c>
      <c r="H27" t="str">
        <f t="shared" si="0"/>
        <v>c.2890A&gt;T</v>
      </c>
      <c r="I27" t="str">
        <f t="shared" si="1"/>
        <v>p.Lys964Ter</v>
      </c>
      <c r="J27" t="str">
        <f>VLOOKUP(A27,[2]!Table1[#All],17,FALSE)</f>
        <v>chr13-32911382-A-T</v>
      </c>
      <c r="L27" t="str" cm="1">
        <f t="array" ref="L27">_xlfn.IFS(B27="BRCA1","Breast-ovarian cancer, familial, susceptibility to, 1",B27="BRCA2","Breast-ovarian cancer, familial, susceptibility to, 2")</f>
        <v>Breast-ovarian cancer, familial, susceptibility to, 2</v>
      </c>
    </row>
  </sheetData>
  <conditionalFormatting sqref="A6:A17">
    <cfRule type="duplicateValues" dxfId="2" priority="2"/>
  </conditionalFormatting>
  <conditionalFormatting sqref="A18:A27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504DF-B7FD-46F3-950A-615D72D45FDE}">
  <dimension ref="A1:L5"/>
  <sheetViews>
    <sheetView workbookViewId="0">
      <selection activeCell="D12" sqref="D12"/>
    </sheetView>
  </sheetViews>
  <sheetFormatPr defaultRowHeight="15" x14ac:dyDescent="0.25"/>
  <sheetData>
    <row r="1" spans="1:12" x14ac:dyDescent="0.25">
      <c r="A1" t="s">
        <v>30</v>
      </c>
      <c r="B1" s="2" t="s">
        <v>4</v>
      </c>
      <c r="C1" s="2" t="s">
        <v>5</v>
      </c>
      <c r="D1" t="s">
        <v>6</v>
      </c>
      <c r="E1" t="s">
        <v>27</v>
      </c>
      <c r="F1" t="s">
        <v>7</v>
      </c>
      <c r="G1" t="s">
        <v>8</v>
      </c>
      <c r="H1" t="s">
        <v>28</v>
      </c>
      <c r="I1" t="s">
        <v>29</v>
      </c>
      <c r="J1" t="s">
        <v>34</v>
      </c>
      <c r="K1" t="s">
        <v>33</v>
      </c>
      <c r="L1" t="s">
        <v>43</v>
      </c>
    </row>
    <row r="2" spans="1:12" x14ac:dyDescent="0.25">
      <c r="A2" s="1" t="s">
        <v>12</v>
      </c>
      <c r="B2" s="3" t="s">
        <v>1</v>
      </c>
      <c r="C2" s="3" t="s">
        <v>3</v>
      </c>
      <c r="D2" s="3" t="s">
        <v>18</v>
      </c>
      <c r="E2" s="3" t="s">
        <v>22</v>
      </c>
      <c r="G2" s="5" t="s">
        <v>31</v>
      </c>
      <c r="H2" t="str">
        <f>MID(
  E2,
  SEARCH("HGVSC=",E2) + LEN("HGVSC="),
  SEARCH(";", E2, SEARCH("HGVSC=",E2))
    - (SEARCH("HGVSC=",E2) + LEN("HGVSC="))
)</f>
        <v>c.4484+1G&gt;A</v>
      </c>
      <c r="I2" t="str">
        <f>MID(
E2,
SEARCH("HGVSP=",E2)+LEN("HGVSP="),
SEARCH(";",E2,SEARCH("HGVSP=",E2))
-(SEARCH("HGVSP=",E2)+LEN("HGVSP="))
)</f>
        <v>-</v>
      </c>
      <c r="J2" s="3" t="s">
        <v>38</v>
      </c>
      <c r="L2" t="str" cm="1">
        <f t="array" ref="L2">_xlfn.IFS(B2="BRCA1","Breast-ovarian cancer, familial, susceptibility to, 1",B2="BRCA2","Breast-ovarian cancer, familial, susceptibility to, 2")</f>
        <v>Breast-ovarian cancer, familial, susceptibility to, 1</v>
      </c>
    </row>
    <row r="3" spans="1:12" x14ac:dyDescent="0.25">
      <c r="A3" s="1" t="s">
        <v>14</v>
      </c>
      <c r="B3" s="3" t="s">
        <v>1</v>
      </c>
      <c r="C3" s="3" t="s">
        <v>3</v>
      </c>
      <c r="D3" s="3" t="s">
        <v>18</v>
      </c>
      <c r="E3" s="3" t="s">
        <v>24</v>
      </c>
      <c r="G3" s="5" t="s">
        <v>31</v>
      </c>
      <c r="H3" t="str">
        <f>MID(
  E3,
  SEARCH("HGVSC=",E3) + LEN("HGVSC="),
  SEARCH(";", E3, SEARCH("HGVSC=",E3))
    - (SEARCH("HGVSC=",E3) + LEN("HGVSC="))
)</f>
        <v>c.5476C&gt;T</v>
      </c>
      <c r="I3" t="str">
        <f>MID(
E3,
SEARCH("HGVSP=",E3)+LEN("HGVSP="),
SEARCH(";",E3,SEARCH("HGVSP=",E3))
-(SEARCH("HGVSP=",E3)+LEN("HGVSP="))
)</f>
        <v>p.Gln1826Ter</v>
      </c>
      <c r="J3" s="3" t="s">
        <v>40</v>
      </c>
      <c r="L3" t="str" cm="1">
        <f t="array" ref="L3">_xlfn.IFS(B3="BRCA1","Breast-ovarian cancer, familial, susceptibility to, 1",B3="BRCA2","Breast-ovarian cancer, familial, susceptibility to, 2")</f>
        <v>Breast-ovarian cancer, familial, susceptibility to, 1</v>
      </c>
    </row>
    <row r="4" spans="1:12" x14ac:dyDescent="0.25">
      <c r="A4" s="1" t="s">
        <v>15</v>
      </c>
      <c r="B4" s="3" t="s">
        <v>0</v>
      </c>
      <c r="C4" s="3" t="s">
        <v>2</v>
      </c>
      <c r="D4" s="3" t="s">
        <v>17</v>
      </c>
      <c r="E4" s="3" t="s">
        <v>25</v>
      </c>
      <c r="G4" s="5" t="s">
        <v>31</v>
      </c>
      <c r="H4" t="str">
        <f>MID(
  E4,
  SEARCH("HGVSC=",E4) + LEN("HGVSC="),
  SEARCH(";", E4, SEARCH("HGVSC=",E4))
    - (SEARCH("HGVSC=",E4) + LEN("HGVSC="))
)</f>
        <v>c.8267C&gt;T</v>
      </c>
      <c r="I4" t="str">
        <f>MID(
E4,
SEARCH("HGVSP=",E4)+LEN("HGVSP="),
SEARCH(";",E4,SEARCH("HGVSP=",E4))
-(SEARCH("HGVSP=",E4)+LEN("HGVSP="))
)</f>
        <v>p.Ala2756Val</v>
      </c>
      <c r="J4" s="3" t="s">
        <v>41</v>
      </c>
      <c r="L4" t="str" cm="1">
        <f t="array" ref="L4">_xlfn.IFS(B4="BRCA1","Breast-ovarian cancer, familial, susceptibility to, 1",B4="BRCA2","Breast-ovarian cancer, familial, susceptibility to, 2")</f>
        <v>Breast-ovarian cancer, familial, susceptibility to, 2</v>
      </c>
    </row>
    <row r="5" spans="1:12" x14ac:dyDescent="0.25">
      <c r="A5" s="1" t="s">
        <v>16</v>
      </c>
      <c r="B5" s="3" t="s">
        <v>1</v>
      </c>
      <c r="C5" s="3" t="s">
        <v>3</v>
      </c>
      <c r="D5" s="3" t="s">
        <v>18</v>
      </c>
      <c r="E5" s="3" t="s">
        <v>26</v>
      </c>
      <c r="G5" s="5" t="s">
        <v>31</v>
      </c>
      <c r="H5" t="str">
        <f>MID(
  E5,
  SEARCH("HGVSC=",E5) + LEN("HGVSC="),
  SEARCH(";", E5, SEARCH("HGVSC=",E5))
    - (SEARCH("HGVSC=",E5) + LEN("HGVSC="))
)</f>
        <v>c.160C&gt;T</v>
      </c>
      <c r="I5" t="str">
        <f>MID(
E5,
SEARCH("HGVSP=",E5)+LEN("HGVSP="),
SEARCH(";",E5,SEARCH("HGVSP=",E5))
-(SEARCH("HGVSP=",E5)+LEN("HGVSP="))
)</f>
        <v>p.Gln54Ter</v>
      </c>
      <c r="J5" s="3" t="s">
        <v>42</v>
      </c>
      <c r="L5" t="str" cm="1">
        <f t="array" ref="L5">_xlfn.IFS(B5="BRCA1","Breast-ovarian cancer, familial, susceptibility to, 1",B5="BRCA2","Breast-ovarian cancer, familial, susceptibility to, 2")</f>
        <v>Breast-ovarian cancer, familial, susceptibility to, 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Jayesh Saha</dc:creator>
  <cp:lastModifiedBy>Jayesh Saha</cp:lastModifiedBy>
  <dcterms:created xsi:type="dcterms:W3CDTF">2015-06-05T18:17:20Z</dcterms:created>
  <dcterms:modified xsi:type="dcterms:W3CDTF">2025-07-14T06:23:42Z</dcterms:modified>
</cp:coreProperties>
</file>